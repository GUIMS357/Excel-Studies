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ilson\Desktop\excel-basico-avancado-arquivos-fontes\"/>
    </mc:Choice>
  </mc:AlternateContent>
  <xr:revisionPtr revIDLastSave="0" documentId="13_ncr:1_{46A8FBB2-976C-42A4-84DC-B8F46E659D14}" xr6:coauthVersionLast="45" xr6:coauthVersionMax="45" xr10:uidLastSave="{00000000-0000-0000-0000-000000000000}"/>
  <bookViews>
    <workbookView xWindow="-120" yWindow="-120" windowWidth="19440" windowHeight="10440" xr2:uid="{FFB8FDD9-A501-4341-B526-F9C1EA521910}"/>
  </bookViews>
  <sheets>
    <sheet name="Reservas" sheetId="3" r:id="rId1"/>
  </sheets>
  <functionGroups builtInGroupCount="19"/>
  <externalReferences>
    <externalReference r:id="rId2"/>
    <externalReference r:id="rId3"/>
    <externalReference r:id="rId4"/>
    <externalReference r:id="rId5"/>
  </externalReferences>
  <definedNames>
    <definedName name="Ano">[1]Auxiliar!$K$5</definedName>
    <definedName name="Estado">[1]Auxiliar!$I$5</definedName>
    <definedName name="hoteis_smart_lucro_liquido">'[2]Hotéis Smart'!$C$3:$C$9</definedName>
    <definedName name="IndiceAno">[1]Auxiliar!$K$6</definedName>
    <definedName name="IndiceEstado">[1]Auxiliar!$I$6</definedName>
    <definedName name="ListaAnos">[1]Auxiliar!$H$11:$H$22</definedName>
    <definedName name="ListaEstados">[1]Auxiliar!$A$5:$A$31</definedName>
    <definedName name="ListaMeses">[1]Auxiliar!$I$11:$I$22</definedName>
    <definedName name="ListaVendas">[1]Auxiliar!$B$5:$B$31</definedName>
    <definedName name="Mes">[1]Auxiliar!$L$5</definedName>
    <definedName name="RegrasProch">'[3]PROCV e PROCH'!$I$12:$L$13</definedName>
    <definedName name="taxaComissao2">'[4]Nomes de Intervalos'!$G$4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3" l="1"/>
  <c r="H12" i="3"/>
  <c r="H6" i="3"/>
  <c r="H10" i="3"/>
  <c r="H13" i="3"/>
  <c r="H11" i="3"/>
  <c r="H5" i="3"/>
  <c r="H14" i="3"/>
  <c r="H4" i="3"/>
  <c r="H8" i="3"/>
  <c r="H15" i="3"/>
  <c r="H9" i="3"/>
  <c r="H3" i="3"/>
  <c r="H7" i="3"/>
</calcChain>
</file>

<file path=xl/sharedStrings.xml><?xml version="1.0" encoding="utf-8"?>
<sst xmlns="http://schemas.openxmlformats.org/spreadsheetml/2006/main" count="53" uniqueCount="28">
  <si>
    <t>Hotel Smart Salvador</t>
  </si>
  <si>
    <t>Tipo Reserva</t>
  </si>
  <si>
    <t>Priscila</t>
  </si>
  <si>
    <t>Hospedagem</t>
  </si>
  <si>
    <t>Carlos</t>
  </si>
  <si>
    <t>Serviço</t>
  </si>
  <si>
    <t>Letícia</t>
  </si>
  <si>
    <t>Alpha Tours</t>
  </si>
  <si>
    <t>Patrícia</t>
  </si>
  <si>
    <t>Forma Pagamento</t>
  </si>
  <si>
    <t>Cartão de Crédito</t>
  </si>
  <si>
    <t>Boleto Bancário</t>
  </si>
  <si>
    <t>Depósito Bancário</t>
  </si>
  <si>
    <t>BonBini SRL</t>
  </si>
  <si>
    <t>Carmel Express</t>
  </si>
  <si>
    <t>Charming Travel</t>
  </si>
  <si>
    <t>GST Brasil</t>
  </si>
  <si>
    <t>Make Travel</t>
  </si>
  <si>
    <t>Omega Tour Operator</t>
  </si>
  <si>
    <t>Xigno Travel</t>
  </si>
  <si>
    <t>ReservaID</t>
  </si>
  <si>
    <t>Data</t>
  </si>
  <si>
    <t>Cliente</t>
  </si>
  <si>
    <t>Vendedor</t>
  </si>
  <si>
    <t>Valor Total</t>
  </si>
  <si>
    <t>Comissão</t>
  </si>
  <si>
    <t>Barny Viajes</t>
  </si>
  <si>
    <t>OLA Viajes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</si>
</sst>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5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99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 indent="1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44" fontId="0" fillId="0" borderId="0" xfId="0" applyNumberFormat="1"/>
    <xf numFmtId="44" fontId="0" fillId="0" borderId="0" xfId="0" applyNumberFormat="1" applyAlignment="1">
      <alignment horizontal="left" indent="1"/>
    </xf>
    <xf numFmtId="1" fontId="3" fillId="4" borderId="0" xfId="0" applyNumberFormat="1" applyFont="1" applyFill="1" applyAlignment="1">
      <alignment horizontal="center"/>
    </xf>
    <xf numFmtId="14" fontId="3" fillId="4" borderId="0" xfId="0" applyNumberFormat="1" applyFont="1" applyFill="1" applyAlignment="1">
      <alignment horizontal="center"/>
    </xf>
    <xf numFmtId="0" fontId="3" fillId="4" borderId="0" xfId="0" applyNumberFormat="1" applyFont="1" applyFill="1" applyAlignment="1">
      <alignment horizontal="left"/>
    </xf>
    <xf numFmtId="164" fontId="3" fillId="4" borderId="0" xfId="0" applyNumberFormat="1" applyFont="1" applyFill="1"/>
    <xf numFmtId="164" fontId="3" fillId="4" borderId="0" xfId="0" applyNumberFormat="1" applyFont="1" applyFill="1" applyAlignment="1">
      <alignment horizontal="left" indent="1"/>
    </xf>
    <xf numFmtId="1" fontId="4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numFmt numFmtId="34" formatCode="_-&quot;R$&quot;\ * #,##0.00_-;\-&quot;R$&quot;\ * #,##0.00_-;_-&quot;R$&quot;\ * &quot;-&quot;??_-;_-@_-"/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dashboards_II_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excel-2016-treinamento-essencial/funcoes-recursos-adicionai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Curso-Excel-2016-Treinamento-Essencial-M&#243;dulo-I/Excel%202016%20-%20Treinamento%20Essenci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I17" t="str">
            <v>Julho</v>
          </cell>
        </row>
        <row r="18">
          <cell r="A18" t="str">
            <v>Pará</v>
          </cell>
          <cell r="B18">
            <v>2255</v>
          </cell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 refreshError="1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G4">
            <v>1.4999999999999999E-2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84E892-CEF4-43BA-AB33-97BBDBD6661F}" name="Tabela2" displayName="Tabela2" ref="A2:H16" totalsRowShown="0" headerRowDxfId="9" dataDxfId="8">
  <autoFilter ref="A2:H16" xr:uid="{F6620478-2D47-4186-9E72-EB4CEBF898D0}"/>
  <tableColumns count="8">
    <tableColumn id="1" xr3:uid="{8B20E5E1-A646-4D28-AA7D-46B230419216}" name="ReservaID" dataDxfId="7"/>
    <tableColumn id="2" xr3:uid="{C5F38E90-FAF6-4A25-B261-C7DB4D9AE297}" name="Data" dataDxfId="6"/>
    <tableColumn id="3" xr3:uid="{4AA9E529-3760-47E3-BDC3-3056592D4BEC}" name="Cliente" dataDxfId="5"/>
    <tableColumn id="4" xr3:uid="{D7C372CC-0D2C-4DF0-A4EE-0489BE4D7459}" name="Tipo Reserva" dataDxfId="4"/>
    <tableColumn id="5" xr3:uid="{2347F9FB-D041-4A2B-8B51-1206452E9C53}" name="Vendedor" dataDxfId="3"/>
    <tableColumn id="6" xr3:uid="{4EF342FB-0AC3-4181-AE4C-BB20C9E52508}" name="Forma Pagamento" dataDxfId="2"/>
    <tableColumn id="7" xr3:uid="{083E4EC1-2724-450D-A5F5-E243F46DDF84}" name="Valor Total" dataDxfId="1"/>
    <tableColumn id="8" xr3:uid="{B03B8E4C-8DA0-43FC-8505-FE30BED87A88}" name="Comissão" dataDxfId="0">
      <calculatedColumnFormula>calcComi(Tabela2[[#This Row],[Valor Total]])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5A163-F629-4EEC-9233-D0FFAEB61EC2}">
  <sheetPr codeName="Planilha6">
    <tabColor theme="9" tint="0.59999389629810485"/>
  </sheetPr>
  <dimension ref="A1:H16"/>
  <sheetViews>
    <sheetView tabSelected="1" zoomScale="120" zoomScaleNormal="120" workbookViewId="0">
      <selection activeCell="E13" sqref="E13"/>
    </sheetView>
  </sheetViews>
  <sheetFormatPr defaultColWidth="8.85546875" defaultRowHeight="15"/>
  <cols>
    <col min="1" max="1" width="14.42578125" customWidth="1"/>
    <col min="2" max="2" width="11.28515625" bestFit="1" customWidth="1"/>
    <col min="3" max="3" width="20.5703125" bestFit="1" customWidth="1"/>
    <col min="4" max="4" width="16.85546875" bestFit="1" customWidth="1"/>
    <col min="5" max="5" width="14.42578125" bestFit="1" customWidth="1"/>
    <col min="6" max="6" width="21.85546875" bestFit="1" customWidth="1"/>
    <col min="7" max="7" width="15.140625" bestFit="1" customWidth="1"/>
    <col min="8" max="8" width="13" bestFit="1" customWidth="1"/>
  </cols>
  <sheetData>
    <row r="1" spans="1:8" ht="36" customHeight="1">
      <c r="A1" s="14" t="s">
        <v>0</v>
      </c>
      <c r="B1" s="14"/>
      <c r="C1" s="14"/>
      <c r="D1" s="14"/>
      <c r="E1" s="14"/>
      <c r="F1" s="14"/>
      <c r="G1" s="14"/>
      <c r="H1" s="14"/>
    </row>
    <row r="2" spans="1:8" ht="15" customHeight="1">
      <c r="A2" s="1" t="s">
        <v>20</v>
      </c>
      <c r="B2" s="1" t="s">
        <v>21</v>
      </c>
      <c r="C2" s="1" t="s">
        <v>22</v>
      </c>
      <c r="D2" s="1" t="s">
        <v>1</v>
      </c>
      <c r="E2" s="1" t="s">
        <v>23</v>
      </c>
      <c r="F2" s="1" t="s">
        <v>9</v>
      </c>
      <c r="G2" s="1" t="s">
        <v>24</v>
      </c>
      <c r="H2" s="2" t="s">
        <v>25</v>
      </c>
    </row>
    <row r="3" spans="1:8">
      <c r="A3" s="3">
        <v>2003</v>
      </c>
      <c r="B3" s="4">
        <v>43101</v>
      </c>
      <c r="C3" s="5" t="s">
        <v>7</v>
      </c>
      <c r="D3" s="5" t="s">
        <v>3</v>
      </c>
      <c r="E3" s="5" t="s">
        <v>2</v>
      </c>
      <c r="F3" s="5" t="s">
        <v>10</v>
      </c>
      <c r="G3" s="6">
        <v>1345</v>
      </c>
      <c r="H3" s="7">
        <f>calcComi(Tabela2[[#This Row],[Valor Total]])</f>
        <v>94.150000400841236</v>
      </c>
    </row>
    <row r="4" spans="1:8">
      <c r="A4" s="3">
        <v>2004</v>
      </c>
      <c r="B4" s="4">
        <v>43102</v>
      </c>
      <c r="C4" s="5" t="s">
        <v>7</v>
      </c>
      <c r="D4" s="5" t="s">
        <v>3</v>
      </c>
      <c r="E4" s="5" t="s">
        <v>2</v>
      </c>
      <c r="F4" s="5" t="s">
        <v>10</v>
      </c>
      <c r="G4" s="6">
        <v>1380</v>
      </c>
      <c r="H4" s="7">
        <f>calcComi(Tabela2[[#This Row],[Valor Total]])</f>
        <v>96.600000411272049</v>
      </c>
    </row>
    <row r="5" spans="1:8">
      <c r="A5" s="3">
        <v>2005</v>
      </c>
      <c r="B5" s="4">
        <v>43103</v>
      </c>
      <c r="C5" s="5" t="s">
        <v>16</v>
      </c>
      <c r="D5" s="5" t="s">
        <v>3</v>
      </c>
      <c r="E5" s="5" t="s">
        <v>4</v>
      </c>
      <c r="F5" s="5" t="s">
        <v>10</v>
      </c>
      <c r="G5" s="6">
        <v>1415</v>
      </c>
      <c r="H5" s="7">
        <f>calcComi(Tabela2[[#This Row],[Valor Total]])</f>
        <v>99.050000421702862</v>
      </c>
    </row>
    <row r="6" spans="1:8">
      <c r="A6" s="3">
        <v>2006</v>
      </c>
      <c r="B6" s="4">
        <v>43103</v>
      </c>
      <c r="C6" s="5" t="s">
        <v>17</v>
      </c>
      <c r="D6" s="5" t="s">
        <v>3</v>
      </c>
      <c r="E6" s="5" t="s">
        <v>4</v>
      </c>
      <c r="F6" s="5" t="s">
        <v>11</v>
      </c>
      <c r="G6" s="6">
        <v>3475</v>
      </c>
      <c r="H6" s="7">
        <f>calcComi(Tabela2[[#This Row],[Valor Total]])</f>
        <v>243.2500010356307</v>
      </c>
    </row>
    <row r="7" spans="1:8">
      <c r="A7" s="3">
        <v>2007</v>
      </c>
      <c r="B7" s="4">
        <v>43104</v>
      </c>
      <c r="C7" s="5" t="s">
        <v>14</v>
      </c>
      <c r="D7" s="5" t="s">
        <v>5</v>
      </c>
      <c r="E7" s="5" t="s">
        <v>6</v>
      </c>
      <c r="F7" s="5" t="s">
        <v>10</v>
      </c>
      <c r="G7" s="6">
        <v>1450</v>
      </c>
      <c r="H7" s="7">
        <f>calcComi(Tabela2[[#This Row],[Valor Total]])</f>
        <v>101.50000043213367</v>
      </c>
    </row>
    <row r="8" spans="1:8">
      <c r="A8" s="3">
        <v>2008</v>
      </c>
      <c r="B8" s="4">
        <v>43105</v>
      </c>
      <c r="C8" s="5" t="s">
        <v>18</v>
      </c>
      <c r="D8" s="5" t="s">
        <v>5</v>
      </c>
      <c r="E8" s="5" t="s">
        <v>8</v>
      </c>
      <c r="F8" s="5" t="s">
        <v>10</v>
      </c>
      <c r="G8" s="6">
        <v>1485</v>
      </c>
      <c r="H8" s="7">
        <f>calcComi(Tabela2[[#This Row],[Valor Total]])</f>
        <v>103.95000044256449</v>
      </c>
    </row>
    <row r="9" spans="1:8">
      <c r="A9" s="3">
        <v>2009</v>
      </c>
      <c r="B9" s="4">
        <v>43105</v>
      </c>
      <c r="C9" s="5" t="s">
        <v>26</v>
      </c>
      <c r="D9" s="5" t="s">
        <v>5</v>
      </c>
      <c r="E9" s="5" t="s">
        <v>6</v>
      </c>
      <c r="F9" s="5" t="s">
        <v>10</v>
      </c>
      <c r="G9" s="6">
        <v>2400</v>
      </c>
      <c r="H9" s="7">
        <f>calcComi(Tabela2[[#This Row],[Valor Total]])</f>
        <v>168.00000071525574</v>
      </c>
    </row>
    <row r="10" spans="1:8">
      <c r="A10" s="3">
        <v>2010</v>
      </c>
      <c r="B10" s="4">
        <v>43106</v>
      </c>
      <c r="C10" s="5" t="s">
        <v>19</v>
      </c>
      <c r="D10" s="5" t="s">
        <v>3</v>
      </c>
      <c r="E10" s="5" t="s">
        <v>6</v>
      </c>
      <c r="F10" s="5" t="s">
        <v>12</v>
      </c>
      <c r="G10" s="6">
        <v>1520</v>
      </c>
      <c r="H10" s="7">
        <f>calcComi(Tabela2[[#This Row],[Valor Total]])</f>
        <v>106.4000004529953</v>
      </c>
    </row>
    <row r="11" spans="1:8">
      <c r="A11" s="3">
        <v>2011</v>
      </c>
      <c r="B11" s="4">
        <v>43107</v>
      </c>
      <c r="C11" s="5" t="s">
        <v>13</v>
      </c>
      <c r="D11" s="5" t="s">
        <v>3</v>
      </c>
      <c r="E11" s="5" t="s">
        <v>4</v>
      </c>
      <c r="F11" s="5" t="s">
        <v>10</v>
      </c>
      <c r="G11" s="6">
        <v>1555</v>
      </c>
      <c r="H11" s="7">
        <f>calcComi(Tabela2[[#This Row],[Valor Total]])</f>
        <v>108.85000046342611</v>
      </c>
    </row>
    <row r="12" spans="1:8" ht="14.25" customHeight="1">
      <c r="A12" s="3">
        <v>2012</v>
      </c>
      <c r="B12" s="4">
        <v>43108</v>
      </c>
      <c r="C12" s="5" t="s">
        <v>15</v>
      </c>
      <c r="D12" s="5" t="s">
        <v>3</v>
      </c>
      <c r="E12" s="5" t="s">
        <v>2</v>
      </c>
      <c r="F12" s="5" t="s">
        <v>10</v>
      </c>
      <c r="G12" s="6">
        <v>1590</v>
      </c>
      <c r="H12" s="7">
        <f>calcComi(Tabela2[[#This Row],[Valor Total]])</f>
        <v>111.30000047385693</v>
      </c>
    </row>
    <row r="13" spans="1:8">
      <c r="A13" s="8">
        <v>2013</v>
      </c>
      <c r="B13" s="9">
        <v>43599</v>
      </c>
      <c r="C13" s="10" t="s">
        <v>27</v>
      </c>
      <c r="D13" s="10" t="s">
        <v>3</v>
      </c>
      <c r="E13" s="10" t="s">
        <v>2</v>
      </c>
      <c r="F13" s="10" t="s">
        <v>10</v>
      </c>
      <c r="G13" s="11">
        <v>3756</v>
      </c>
      <c r="H13" s="12">
        <f>calcComi(Tabela2[[#This Row],[Valor Total]])</f>
        <v>262.92000111937523</v>
      </c>
    </row>
    <row r="14" spans="1:8">
      <c r="A14" s="13">
        <v>2014</v>
      </c>
      <c r="B14" s="4">
        <v>43605</v>
      </c>
      <c r="C14" s="5"/>
      <c r="D14" s="5"/>
      <c r="E14" s="5"/>
      <c r="F14" s="5"/>
      <c r="G14" s="6"/>
      <c r="H14" s="7">
        <f>calcComi(Tabela2[[#This Row],[Valor Total]])</f>
        <v>0</v>
      </c>
    </row>
    <row r="15" spans="1:8">
      <c r="C15" s="5"/>
      <c r="D15" s="5"/>
      <c r="E15" s="5"/>
      <c r="F15" s="5"/>
      <c r="G15" s="6"/>
      <c r="H15" s="7">
        <f>calcComi(Tabela2[[#This Row],[Valor Total]])</f>
        <v>0</v>
      </c>
    </row>
    <row r="16" spans="1:8">
      <c r="C16" s="5"/>
      <c r="D16" s="5"/>
      <c r="E16" s="5"/>
      <c r="F16" s="5"/>
      <c r="G16" s="6"/>
      <c r="H16" s="7">
        <f>calcComi(Tabela2[[#This Row],[Valor Total]])</f>
        <v>0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Aramaica</dc:creator>
  <cp:lastModifiedBy>jilson</cp:lastModifiedBy>
  <dcterms:created xsi:type="dcterms:W3CDTF">2019-05-06T18:02:31Z</dcterms:created>
  <dcterms:modified xsi:type="dcterms:W3CDTF">2020-07-22T12:57:05Z</dcterms:modified>
</cp:coreProperties>
</file>